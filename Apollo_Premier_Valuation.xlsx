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6380" windowHeight="8196" tabRatio="733" activeTab="4"/>
  </bookViews>
  <sheets>
    <sheet name="Raw Data" sheetId="1" r:id="rId1"/>
    <sheet name="Ratios" sheetId="2" r:id="rId2"/>
    <sheet name="DCF" sheetId="3" r:id="rId3"/>
    <sheet name="Comps" sheetId="4" r:id="rId4"/>
    <sheet name="Summary" sheetId="5" r:id="rId5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5" l="1"/>
  <c r="C8" i="5"/>
  <c r="B8" i="4"/>
  <c r="B7" i="4"/>
  <c r="F4" i="4"/>
  <c r="G4" i="4" s="1"/>
  <c r="F3" i="4"/>
  <c r="G3" i="4" s="1"/>
  <c r="G5" i="4" s="1"/>
  <c r="B9" i="4" s="1"/>
  <c r="F5" i="3"/>
  <c r="E5" i="3"/>
  <c r="D5" i="3"/>
  <c r="C5" i="3"/>
  <c r="B5" i="3"/>
  <c r="B2" i="2"/>
  <c r="B2" i="3" s="1"/>
  <c r="H4" i="1"/>
  <c r="B4" i="2" s="1"/>
  <c r="H3" i="1"/>
  <c r="B3" i="2" s="1"/>
  <c r="H2" i="1"/>
  <c r="B11" i="4" l="1"/>
  <c r="B10" i="4"/>
  <c r="B3" i="3"/>
  <c r="B4" i="3" s="1"/>
  <c r="B6" i="3" s="1"/>
  <c r="C2" i="3"/>
  <c r="C3" i="3" l="1"/>
  <c r="C4" i="3" s="1"/>
  <c r="C6" i="3" s="1"/>
  <c r="D2" i="3"/>
  <c r="B6" i="5"/>
  <c r="B12" i="4"/>
  <c r="C6" i="5" s="1"/>
  <c r="B7" i="5"/>
  <c r="B13" i="4"/>
  <c r="C7" i="5" s="1"/>
  <c r="E2" i="3" l="1"/>
  <c r="D3" i="3"/>
  <c r="D4" i="3" s="1"/>
  <c r="D6" i="3" s="1"/>
  <c r="E3" i="3" l="1"/>
  <c r="E4" i="3" s="1"/>
  <c r="E6" i="3" s="1"/>
  <c r="F2" i="3"/>
  <c r="F3" i="3" s="1"/>
  <c r="F4" i="3" s="1"/>
  <c r="F6" i="3" l="1"/>
  <c r="G6" i="3" s="1"/>
  <c r="B8" i="3"/>
  <c r="B9" i="3" s="1"/>
  <c r="B10" i="3" s="1"/>
  <c r="B11" i="3" l="1"/>
  <c r="C5" i="5" s="1"/>
  <c r="B5" i="5"/>
  <c r="B16" i="3"/>
  <c r="B17" i="3" s="1"/>
</calcChain>
</file>

<file path=xl/comments1.xml><?xml version="1.0" encoding="utf-8"?>
<comments xmlns="http://schemas.openxmlformats.org/spreadsheetml/2006/main">
  <authors>
    <author>Unknown Author</author>
  </authors>
  <commentList>
    <comment ref="G7" authorId="0" shapeId="0">
      <text>
        <r>
          <rPr>
            <sz val="10"/>
            <rFont val="Arial"/>
            <family val="2"/>
          </rPr>
          <t>Source: Screener.in, Premier Explosives Ltd, accessed July 2026. Point-in-time market cap used for reference; the live figure moves daily with the share price.</t>
        </r>
      </text>
    </comment>
  </commentList>
</comments>
</file>

<file path=xl/sharedStrings.xml><?xml version="1.0" encoding="utf-8"?>
<sst xmlns="http://schemas.openxmlformats.org/spreadsheetml/2006/main" count="92" uniqueCount="85">
  <si>
    <t>Metric</t>
  </si>
  <si>
    <t>FY21</t>
  </si>
  <si>
    <t>FY22</t>
  </si>
  <si>
    <t>FY23</t>
  </si>
  <si>
    <t>FY24</t>
  </si>
  <si>
    <t>FY25</t>
  </si>
  <si>
    <t>FY26</t>
  </si>
  <si>
    <t>Notes / Sources</t>
  </si>
  <si>
    <t>Sales</t>
  </si>
  <si>
    <t>All figures in Rs Crore, consolidated. Source: Screener.in - Premier Explosives Ltd, Profit &amp; Loss / Balance Sheet tabs.</t>
  </si>
  <si>
    <t>EBITDA</t>
  </si>
  <si>
    <t>Net Profit</t>
  </si>
  <si>
    <t>Debt</t>
  </si>
  <si>
    <t>Total debt, FY26 (latest reported year).</t>
  </si>
  <si>
    <t>Cash</t>
  </si>
  <si>
    <t>Cash &amp; equivalents, FY26 (latest reported year).</t>
  </si>
  <si>
    <t>Market Cap</t>
  </si>
  <si>
    <t>DUE DILIGENCE FLAG: EBITDA fell from 58 (FY25) to 39 (FY26) even though Sales was roughly flat (417 to 388) - margin compression in the latest year. See memo.</t>
  </si>
  <si>
    <t>Value</t>
  </si>
  <si>
    <t>Sales CAGR</t>
  </si>
  <si>
    <t>Avg EBITDA Margin</t>
  </si>
  <si>
    <t>Avg Net Margin</t>
  </si>
  <si>
    <t>Year 1</t>
  </si>
  <si>
    <t>Year 2</t>
  </si>
  <si>
    <t>Year 3</t>
  </si>
  <si>
    <t>Year 4</t>
  </si>
  <si>
    <t>Year 5</t>
  </si>
  <si>
    <t>Revenue</t>
  </si>
  <si>
    <t>Free Cash Flow</t>
  </si>
  <si>
    <t>Discount Factor</t>
  </si>
  <si>
    <t>Present Value (PV) of FCF</t>
  </si>
  <si>
    <t>Terminal Value</t>
  </si>
  <si>
    <t>(Gordon Growth: FCF Year 5 x (1+terminal growth) / (discount rate - terminal growth). Terminal growth = 5%, discount rate = 13%.)</t>
  </si>
  <si>
    <t>PV of Terminal Value</t>
  </si>
  <si>
    <t>Enterprise Value</t>
  </si>
  <si>
    <t>Equity Value (EV - Debt + Cash, FY26)</t>
  </si>
  <si>
    <t>Key assumptions</t>
  </si>
  <si>
    <t>Discount rate (WACC proxy)</t>
  </si>
  <si>
    <t>Standard cost of capital for an Indian small/mid-cap; higher than a diagnostics/consumer business given defence-manufacturing regulatory and execution risk.</t>
  </si>
  <si>
    <t>Terminal growth rate</t>
  </si>
  <si>
    <t>Proxy for long-run nominal GDP growth.</t>
  </si>
  <si>
    <t>Implied EV/EBITDA multiple (DCF-derived)</t>
  </si>
  <si>
    <t>Cross-check: multiple x Latest Actual EBITDA (FY26)</t>
  </si>
  <si>
    <t>Company</t>
  </si>
  <si>
    <t>EV</t>
  </si>
  <si>
    <t>EV/EBITDA</t>
  </si>
  <si>
    <t>GOCL Corp (EXCLUDED - see note)</t>
  </si>
  <si>
    <t>N/M</t>
  </si>
  <si>
    <t>Excluded: GOCL's FY26 operating business posted a NEGATIVE operating profit (core explosives/detonator business shrank sharply after discontinuing part of that business); its reported net profit is dominated by a one-off ~Rs 1,671 Cr other-income / asset-discontinuation gain, not recurring operations. An EV/EBITDA multiple built on that is not comparable to Premier's core operating business. Source: Screener.in, MarketsMojo quarterly result analysis, accessed July 2026.</t>
  </si>
  <si>
    <t>Astra Microwave</t>
  </si>
  <si>
    <t>Source: Screener.in, accessed July 2026 (Market Cap Rs 17,144 Cr).</t>
  </si>
  <si>
    <t>Solar Industries</t>
  </si>
  <si>
    <t>Source: Screener.in + Solar Industries FY26 results (EBITDA Rs 2,750 Cr, FY26). Added as a second, larger, pure-play explosives/defence peer since GOCL is not comparable this year.</t>
  </si>
  <si>
    <t>Average (Astra + Solar only)</t>
  </si>
  <si>
    <t>Premier EBITDA - FY26 (latest, post margin-compression)</t>
  </si>
  <si>
    <t>Premier EBITDA - FY25 (prior peak year)</t>
  </si>
  <si>
    <t>Peer average EV/EBITDA applied</t>
  </si>
  <si>
    <t>Implied EV using FY26 EBITDA</t>
  </si>
  <si>
    <t>Implied EV using FY25 EBITDA</t>
  </si>
  <si>
    <t>Implied Equity Value (FY26 EBITDA basis): EV - Debt + Cash</t>
  </si>
  <si>
    <t>Implied Equity Value (FY25 EBITDA basis): EV - Debt + Cash</t>
  </si>
  <si>
    <t>Premier Explosives - Independent Valuation vs. Actual Deal Price</t>
  </si>
  <si>
    <t>Apollo Micro Systems acquisition of 41.33% promoter stake, announced 9 July 2026</t>
  </si>
  <si>
    <t>Method</t>
  </si>
  <si>
    <t>Enterprise Value (Rs Cr)</t>
  </si>
  <si>
    <t>Equity Value (Rs Cr)</t>
  </si>
  <si>
    <t>Basis / Note</t>
  </si>
  <si>
    <t>DCF (5-yr, 13% discount rate)</t>
  </si>
  <si>
    <t>Simplified single-growth-rate DCF; most conservative estimate.</t>
  </si>
  <si>
    <t>Comps - FY26 EBITDA (declined yr)</t>
  </si>
  <si>
    <t>Applies Astra/Solar avg multiple to Premier's latest (weaker) FY26 EBITDA of 39 Cr.</t>
  </si>
  <si>
    <t>Comps - FY25 EBITDA (peak yr)</t>
  </si>
  <si>
    <t>Same multiple applied to FY25 EBITDA of 58 Cr - shows sensitivity to which year is used.</t>
  </si>
  <si>
    <t>Current Market Cap (reference)</t>
  </si>
  <si>
    <t>Screener.in, accessed July 2026 - not a valuation method, shown for reference.</t>
  </si>
  <si>
    <t>ACTUAL DEAL (real, disclosed)</t>
  </si>
  <si>
    <t>Deal price for 41.33% stake</t>
  </si>
  <si>
    <t>All-cash, Share Purchase Agreement signed 9 July 2026 (Business Standard, TipRanks).</t>
  </si>
  <si>
    <t>Implied 100% equity value</t>
  </si>
  <si>
    <t>Rs 1,550 Cr / 41.33% stake sold. This is the number to compare your DCF/Comps equity values against.</t>
  </si>
  <si>
    <t>Reading the table</t>
  </si>
  <si>
    <t>1. Your DCF (~Rs 875 Cr equity value, using the corrected terminal value formula) sits well below the deal's implied Rs 3,750 Cr equity value. This is expected from a simplified, conservative single-growth-rate model - not an error.</t>
  </si>
  <si>
    <t>2. The comps method using FY25 (peak) EBITDA lands closest to both the market cap and the actual deal value, while FY26 (declined) EBITDA gives a much lower number - the choice of EBITDA year materially changes the answer, which is worth flagging explicitly rather than picking whichever looks nicer.</t>
  </si>
  <si>
    <t>3. The deal's implied equity value (~Rs 3,750 Cr) is close to Premier's prevailing market cap (~Rs 3,858 Cr) - Apollo does not appear to be paying a large premium over the public market price for this controlling stake, which is itself a notable finding worth stating in the memo.</t>
  </si>
  <si>
    <t>4. Do not adjust your DCF or comps assumptions backward to force them closer to the deal price - the gap and its explanation is the actual analytical output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</si>
</sst>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0.000"/>
    <numFmt numFmtId="166" formatCode="0.0%"/>
    <numFmt numFmtId="167" formatCode="0.0\x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b/>
      <sz val="11"/>
      <name val="Arial"/>
      <family val="2"/>
    </font>
    <font>
      <sz val="11"/>
      <color theme="1"/>
      <name val="Arial"/>
      <family val="2"/>
      <charset val="1"/>
    </font>
    <font>
      <i/>
      <sz val="9"/>
      <color rgb="FF595959"/>
      <name val="Arial"/>
      <family val="2"/>
    </font>
    <font>
      <sz val="11"/>
      <color rgb="FF0000FF"/>
      <name val="Arial"/>
      <family val="2"/>
    </font>
    <font>
      <i/>
      <sz val="11"/>
      <color rgb="FFC00000"/>
      <name val="Arial"/>
      <family val="2"/>
    </font>
    <font>
      <b/>
      <sz val="14"/>
      <color theme="1"/>
      <name val="Arial"/>
      <family val="2"/>
      <charset val="1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i/>
      <strike/>
      <sz val="11"/>
      <color rgb="FFC00000"/>
      <name val="Arial"/>
      <family val="2"/>
    </font>
    <font>
      <sz val="11"/>
      <color rgb="FFC00000"/>
      <name val="Arial"/>
      <family val="2"/>
    </font>
    <font>
      <i/>
      <strike/>
      <sz val="11"/>
      <color rgb="FFC00000"/>
      <name val="Cambria"/>
      <family val="1"/>
    </font>
    <font>
      <b/>
      <sz val="14"/>
      <color rgb="FF1F4E7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9"/>
      <color rgb="FF595959"/>
      <name val="Arial"/>
      <family val="2"/>
    </font>
    <font>
      <b/>
      <sz val="9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/>
    <xf numFmtId="0" fontId="0" fillId="0" borderId="0" xfId="0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0" fontId="8" fillId="0" borderId="0" xfId="0" applyFont="1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/>
    <xf numFmtId="0" fontId="9" fillId="0" borderId="0" xfId="0" applyFont="1" applyAlignment="1">
      <alignment horizontal="left"/>
    </xf>
    <xf numFmtId="164" fontId="10" fillId="0" borderId="0" xfId="0" applyNumberFormat="1" applyFont="1" applyAlignment="1"/>
    <xf numFmtId="0" fontId="4" fillId="0" borderId="0" xfId="0" applyFont="1" applyAlignment="1">
      <alignment horizontal="left"/>
    </xf>
    <xf numFmtId="164" fontId="4" fillId="0" borderId="0" xfId="0" applyNumberFormat="1" applyFont="1" applyAlignment="1"/>
    <xf numFmtId="2" fontId="0" fillId="0" borderId="0" xfId="0" applyNumberFormat="1" applyAlignment="1"/>
    <xf numFmtId="3" fontId="5" fillId="0" borderId="0" xfId="0" applyNumberFormat="1" applyFont="1" applyAlignment="1"/>
    <xf numFmtId="0" fontId="5" fillId="0" borderId="0" xfId="0" applyFont="1" applyAlignment="1">
      <alignment horizontal="left"/>
    </xf>
    <xf numFmtId="166" fontId="7" fillId="0" borderId="0" xfId="0" applyNumberFormat="1" applyFont="1" applyAlignment="1"/>
    <xf numFmtId="167" fontId="5" fillId="0" borderId="0" xfId="0" applyNumberFormat="1" applyFont="1" applyAlignment="1"/>
    <xf numFmtId="0" fontId="11" fillId="2" borderId="0" xfId="0" applyFont="1" applyFill="1" applyAlignment="1"/>
    <xf numFmtId="0" fontId="12" fillId="3" borderId="0" xfId="0" applyFont="1" applyFill="1" applyAlignment="1"/>
    <xf numFmtId="0" fontId="13" fillId="3" borderId="0" xfId="0" applyFont="1" applyFill="1" applyAlignment="1"/>
    <xf numFmtId="0" fontId="14" fillId="3" borderId="0" xfId="0" applyFont="1" applyFill="1" applyAlignment="1"/>
    <xf numFmtId="2" fontId="14" fillId="3" borderId="0" xfId="0" applyNumberFormat="1" applyFont="1" applyFill="1" applyAlignment="1"/>
    <xf numFmtId="0" fontId="6" fillId="0" borderId="0" xfId="0" applyFont="1" applyAlignment="1">
      <alignment vertical="top" wrapText="1"/>
    </xf>
    <xf numFmtId="0" fontId="3" fillId="0" borderId="0" xfId="0" applyFont="1" applyAlignment="1"/>
    <xf numFmtId="0" fontId="9" fillId="0" borderId="0" xfId="0" applyFont="1" applyAlignment="1"/>
    <xf numFmtId="167" fontId="4" fillId="0" borderId="0" xfId="0" applyNumberFormat="1" applyFont="1" applyAlignme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/>
    <xf numFmtId="0" fontId="5" fillId="0" borderId="0" xfId="0" applyFont="1" applyAlignment="1"/>
    <xf numFmtId="0" fontId="17" fillId="4" borderId="0" xfId="0" applyFont="1" applyFill="1" applyAlignment="1"/>
    <xf numFmtId="3" fontId="5" fillId="4" borderId="0" xfId="0" applyNumberFormat="1" applyFont="1" applyFill="1" applyAlignment="1"/>
    <xf numFmtId="0" fontId="17" fillId="0" borderId="0" xfId="0" applyFont="1" applyAlignment="1"/>
    <xf numFmtId="3" fontId="17" fillId="5" borderId="0" xfId="0" applyNumberFormat="1" applyFont="1" applyFill="1" applyAlignment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activeCell="J1" sqref="J1"/>
    </sheetView>
  </sheetViews>
  <sheetFormatPr defaultColWidth="8.6640625" defaultRowHeight="14.4" x14ac:dyDescent="0.3"/>
  <cols>
    <col min="1" max="1" width="26" style="3" customWidth="1"/>
  </cols>
  <sheetData>
    <row r="1" spans="1:10" s="7" customFormat="1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/>
      <c r="J1" s="8" t="s">
        <v>7</v>
      </c>
    </row>
    <row r="2" spans="1:10" ht="14.25" customHeight="1" x14ac:dyDescent="0.3">
      <c r="A2" s="9" t="s">
        <v>8</v>
      </c>
      <c r="B2" s="10">
        <v>152</v>
      </c>
      <c r="C2" s="10">
        <v>199</v>
      </c>
      <c r="D2" s="10">
        <v>202</v>
      </c>
      <c r="E2" s="10">
        <v>272</v>
      </c>
      <c r="F2" s="10">
        <v>417</v>
      </c>
      <c r="G2" s="10">
        <v>388</v>
      </c>
      <c r="H2" s="10">
        <f>SUM(B2:G2)</f>
        <v>1630</v>
      </c>
      <c r="J2" s="11" t="s">
        <v>9</v>
      </c>
    </row>
    <row r="3" spans="1:10" ht="14.25" customHeight="1" x14ac:dyDescent="0.3">
      <c r="A3" s="9" t="s">
        <v>10</v>
      </c>
      <c r="B3" s="10">
        <v>7</v>
      </c>
      <c r="C3" s="10">
        <v>21</v>
      </c>
      <c r="D3" s="10">
        <v>26</v>
      </c>
      <c r="E3" s="10">
        <v>58</v>
      </c>
      <c r="F3" s="10">
        <v>58</v>
      </c>
      <c r="G3" s="10">
        <v>39</v>
      </c>
      <c r="H3" s="10">
        <f>SUM(B3:G3)</f>
        <v>209</v>
      </c>
    </row>
    <row r="4" spans="1:10" ht="14.25" customHeight="1" x14ac:dyDescent="0.3">
      <c r="A4" s="9" t="s">
        <v>11</v>
      </c>
      <c r="B4" s="10">
        <v>-11</v>
      </c>
      <c r="C4" s="10">
        <v>5</v>
      </c>
      <c r="D4" s="10">
        <v>7</v>
      </c>
      <c r="E4" s="10">
        <v>28</v>
      </c>
      <c r="F4" s="10">
        <v>29</v>
      </c>
      <c r="G4" s="10">
        <v>46</v>
      </c>
      <c r="H4" s="10">
        <f>SUM(B4:G4)</f>
        <v>104</v>
      </c>
    </row>
    <row r="5" spans="1:10" ht="14.25" customHeight="1" x14ac:dyDescent="0.3">
      <c r="A5" s="4" t="s">
        <v>12</v>
      </c>
      <c r="B5" s="12">
        <v>58</v>
      </c>
      <c r="C5" s="10">
        <v>78</v>
      </c>
      <c r="D5" s="10">
        <v>83</v>
      </c>
      <c r="E5" s="10">
        <v>61</v>
      </c>
      <c r="F5" s="10">
        <v>41</v>
      </c>
      <c r="G5" s="10">
        <v>32</v>
      </c>
      <c r="H5" s="13"/>
      <c r="J5" s="11" t="s">
        <v>13</v>
      </c>
    </row>
    <row r="6" spans="1:10" ht="14.25" customHeight="1" x14ac:dyDescent="0.3">
      <c r="A6" s="4" t="s">
        <v>14</v>
      </c>
      <c r="B6" s="12">
        <v>6</v>
      </c>
      <c r="C6" s="10">
        <v>5</v>
      </c>
      <c r="D6" s="10">
        <v>7</v>
      </c>
      <c r="E6" s="10">
        <v>29</v>
      </c>
      <c r="F6" s="10">
        <v>101</v>
      </c>
      <c r="G6" s="10">
        <v>60</v>
      </c>
      <c r="H6" s="13"/>
      <c r="I6" s="14"/>
      <c r="J6" s="11" t="s">
        <v>15</v>
      </c>
    </row>
    <row r="7" spans="1:10" ht="14.25" customHeight="1" x14ac:dyDescent="0.3">
      <c r="A7" s="4" t="s">
        <v>16</v>
      </c>
      <c r="B7" s="15"/>
      <c r="C7" s="13"/>
      <c r="D7" s="13"/>
      <c r="E7" s="13"/>
      <c r="F7" s="13"/>
      <c r="G7" s="16">
        <v>3858</v>
      </c>
      <c r="H7" s="13"/>
      <c r="J7" s="17" t="s">
        <v>17</v>
      </c>
    </row>
    <row r="8" spans="1:10" ht="14.25" customHeight="1" x14ac:dyDescent="0.3">
      <c r="B8" s="18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>
      <selection activeCell="B25" sqref="B25"/>
    </sheetView>
  </sheetViews>
  <sheetFormatPr defaultColWidth="8.88671875" defaultRowHeight="14.4" x14ac:dyDescent="0.3"/>
  <cols>
    <col min="1" max="1" width="26" style="3" customWidth="1"/>
    <col min="2" max="2" width="11.5546875" style="13" customWidth="1"/>
    <col min="3" max="16384" width="8.88671875" style="13"/>
  </cols>
  <sheetData>
    <row r="1" spans="1:2" s="6" customFormat="1" ht="14.25" customHeight="1" x14ac:dyDescent="0.3">
      <c r="A1" s="4" t="s">
        <v>0</v>
      </c>
      <c r="B1" s="19" t="s">
        <v>18</v>
      </c>
    </row>
    <row r="2" spans="1:2" ht="28.5" customHeight="1" x14ac:dyDescent="0.3">
      <c r="A2" s="4" t="s">
        <v>19</v>
      </c>
      <c r="B2" s="20">
        <f>(('Raw Data'!G2/'Raw Data'!B2)^(1/5))-1</f>
        <v>0.20613974182865791</v>
      </c>
    </row>
    <row r="3" spans="1:2" ht="28.5" customHeight="1" x14ac:dyDescent="0.3">
      <c r="A3" s="4" t="s">
        <v>20</v>
      </c>
      <c r="B3" s="20">
        <f>AVERAGE('Raw Data'!H3/'Raw Data'!H2)</f>
        <v>0.12822085889570553</v>
      </c>
    </row>
    <row r="4" spans="1:2" ht="42.75" customHeight="1" x14ac:dyDescent="0.3">
      <c r="A4" s="4" t="s">
        <v>21</v>
      </c>
      <c r="B4" s="20">
        <f>AVERAGE('Raw Data'!H4/'Raw Data'!H2)</f>
        <v>6.3803680981595098E-2</v>
      </c>
    </row>
    <row r="5" spans="1:2" ht="28.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>
      <selection activeCell="F13" sqref="F13"/>
    </sheetView>
  </sheetViews>
  <sheetFormatPr defaultColWidth="8.6640625" defaultRowHeight="14.4" x14ac:dyDescent="0.3"/>
  <cols>
    <col min="1" max="1" width="26" style="21" customWidth="1"/>
    <col min="2" max="4" width="8.5546875" style="22" customWidth="1"/>
    <col min="5" max="6" width="9.5546875" style="22" customWidth="1"/>
    <col min="7" max="7" width="6.5546875" style="22" customWidth="1"/>
  </cols>
  <sheetData>
    <row r="1" spans="1:9" s="7" customFormat="1" ht="14.25" customHeight="1" x14ac:dyDescent="0.3">
      <c r="A1" s="9" t="s">
        <v>0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9" ht="14.25" customHeight="1" x14ac:dyDescent="0.3">
      <c r="A2" s="9" t="s">
        <v>27</v>
      </c>
      <c r="B2" s="23">
        <f>'Raw Data'!G2*(1+Ratios!B2)</f>
        <v>467.98221982951929</v>
      </c>
      <c r="C2" s="23">
        <f>B2*(1+Ratios!B2)</f>
        <v>564.45195380557868</v>
      </c>
      <c r="D2" s="23">
        <f>C2*(1+Ratios!B2)</f>
        <v>680.80793383774221</v>
      </c>
      <c r="E2" s="23">
        <f>D2*(1+Ratios!B2)</f>
        <v>821.14950555395637</v>
      </c>
      <c r="F2" s="23">
        <f>E2*(1+Ratios!B2)</f>
        <v>990.42105263157907</v>
      </c>
    </row>
    <row r="3" spans="1:9" ht="14.25" customHeight="1" x14ac:dyDescent="0.3">
      <c r="A3" s="9" t="s">
        <v>10</v>
      </c>
      <c r="B3" s="23">
        <f>B2*Ratios!B3</f>
        <v>60.005082174459844</v>
      </c>
      <c r="C3" s="23">
        <f>C2*Ratios!B3</f>
        <v>72.374514322310404</v>
      </c>
      <c r="D3" s="23">
        <f>D2*Ratios!B3</f>
        <v>87.293778019685973</v>
      </c>
      <c r="E3" s="23">
        <f>E2*Ratios!B3</f>
        <v>105.28849488391221</v>
      </c>
      <c r="F3" s="23">
        <f>F2*Ratios!B3</f>
        <v>126.99263803680984</v>
      </c>
    </row>
    <row r="4" spans="1:9" ht="14.25" customHeight="1" x14ac:dyDescent="0.3">
      <c r="A4" s="9" t="s">
        <v>28</v>
      </c>
      <c r="B4" s="23">
        <f>B3*0.7</f>
        <v>42.003557522121888</v>
      </c>
      <c r="C4" s="23">
        <f>C3*0.7</f>
        <v>50.662160025617283</v>
      </c>
      <c r="D4" s="23">
        <f>D3*0.7</f>
        <v>61.105644613780179</v>
      </c>
      <c r="E4" s="23">
        <f>E3*0.7</f>
        <v>73.701946418738544</v>
      </c>
      <c r="F4" s="23">
        <f>F3*0.7</f>
        <v>88.894846625766874</v>
      </c>
    </row>
    <row r="5" spans="1:9" ht="14.25" customHeight="1" x14ac:dyDescent="0.3">
      <c r="A5" s="9" t="s">
        <v>29</v>
      </c>
      <c r="B5" s="24">
        <f>1/(1.13)^1</f>
        <v>0.88495575221238942</v>
      </c>
      <c r="C5" s="24">
        <f>1/(1.13)^2</f>
        <v>0.78314668337379612</v>
      </c>
      <c r="D5" s="24">
        <f>1/(1.13)^3</f>
        <v>0.69305016227769578</v>
      </c>
      <c r="E5" s="24">
        <f>1/(1.13)^4</f>
        <v>0.61331872767937679</v>
      </c>
      <c r="F5" s="24">
        <f>1/(1.13)^5</f>
        <v>0.54275993599944861</v>
      </c>
    </row>
    <row r="6" spans="1:9" ht="14.25" customHeight="1" x14ac:dyDescent="0.3">
      <c r="A6" s="9" t="s">
        <v>30</v>
      </c>
      <c r="B6" s="23">
        <f>B4*B5</f>
        <v>37.171289842585743</v>
      </c>
      <c r="C6" s="23">
        <f>C4*C5</f>
        <v>39.675902596614691</v>
      </c>
      <c r="D6" s="23">
        <f>D4*D5</f>
        <v>42.349276915663559</v>
      </c>
      <c r="E6" s="23">
        <f>E4*E5</f>
        <v>45.202784005034324</v>
      </c>
      <c r="F6" s="23">
        <f>F4*F5</f>
        <v>48.248561265282028</v>
      </c>
      <c r="G6" s="25">
        <f>SUM(B6:F6)</f>
        <v>212.64781462518033</v>
      </c>
    </row>
    <row r="8" spans="1:9" ht="18" customHeight="1" x14ac:dyDescent="0.3">
      <c r="A8" s="26" t="s">
        <v>31</v>
      </c>
      <c r="B8" s="27">
        <f>(F4*1.05)/(0.13-0.05)</f>
        <v>1166.7448619631903</v>
      </c>
      <c r="C8" s="2" t="s">
        <v>32</v>
      </c>
      <c r="D8" s="2"/>
      <c r="E8" s="2"/>
      <c r="F8" s="2"/>
      <c r="G8" s="2"/>
      <c r="H8" s="2"/>
      <c r="I8" s="2"/>
    </row>
    <row r="9" spans="1:9" ht="18" customHeight="1" x14ac:dyDescent="0.3">
      <c r="A9" s="26" t="s">
        <v>33</v>
      </c>
      <c r="B9" s="25">
        <f>B8*F5</f>
        <v>633.26236660682662</v>
      </c>
    </row>
    <row r="10" spans="1:9" ht="18" customHeight="1" x14ac:dyDescent="0.3">
      <c r="A10" s="28" t="s">
        <v>34</v>
      </c>
      <c r="B10" s="29">
        <f>SUM(B6:F6)+B9</f>
        <v>845.91018123200695</v>
      </c>
      <c r="G10" s="30"/>
    </row>
    <row r="11" spans="1:9" ht="14.25" customHeight="1" x14ac:dyDescent="0.3">
      <c r="A11" s="8" t="s">
        <v>35</v>
      </c>
      <c r="B11" s="31">
        <f>B10-'Raw Data'!G5+'Raw Data'!G6</f>
        <v>873.91018123200695</v>
      </c>
    </row>
    <row r="12" spans="1:9" ht="14.25" customHeight="1" x14ac:dyDescent="0.3">
      <c r="A12" s="8" t="s">
        <v>36</v>
      </c>
    </row>
    <row r="13" spans="1:9" ht="14.25" customHeight="1" x14ac:dyDescent="0.3">
      <c r="A13" s="32" t="s">
        <v>37</v>
      </c>
      <c r="B13" s="33">
        <v>0.13</v>
      </c>
      <c r="C13" s="11" t="s">
        <v>38</v>
      </c>
    </row>
    <row r="14" spans="1:9" ht="14.25" customHeight="1" x14ac:dyDescent="0.3">
      <c r="A14" s="32" t="s">
        <v>39</v>
      </c>
      <c r="B14" s="33">
        <v>0.05</v>
      </c>
      <c r="C14" s="11" t="s">
        <v>40</v>
      </c>
    </row>
    <row r="16" spans="1:9" ht="14.25" customHeight="1" x14ac:dyDescent="0.3">
      <c r="A16" s="8" t="s">
        <v>41</v>
      </c>
      <c r="B16" s="34">
        <f>B10/B3</f>
        <v>14.097308937476207</v>
      </c>
    </row>
    <row r="17" spans="1:2" ht="14.25" customHeight="1" x14ac:dyDescent="0.3">
      <c r="A17" s="8" t="s">
        <v>42</v>
      </c>
      <c r="B17" s="31">
        <f>B16*'Raw Data'!G3</f>
        <v>549.79504856157212</v>
      </c>
    </row>
  </sheetData>
  <mergeCells count="1">
    <mergeCell ref="C8:I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Normal="100" workbookViewId="0">
      <selection activeCell="B12" sqref="B12"/>
    </sheetView>
  </sheetViews>
  <sheetFormatPr defaultColWidth="8.6640625" defaultRowHeight="14.4" x14ac:dyDescent="0.3"/>
  <cols>
    <col min="1" max="1" width="60.5546875" style="7" bestFit="1" customWidth="1"/>
    <col min="2" max="2" width="11.88671875" style="22" customWidth="1"/>
    <col min="3" max="3" width="6.109375" style="22" customWidth="1"/>
    <col min="4" max="4" width="5.88671875" style="22" customWidth="1"/>
    <col min="5" max="5" width="8.44140625" style="22" customWidth="1"/>
    <col min="6" max="6" width="8.77734375" style="22" customWidth="1"/>
    <col min="7" max="7" width="11.77734375" style="22" customWidth="1"/>
    <col min="9" max="9" width="139.21875" style="22" bestFit="1" customWidth="1"/>
  </cols>
  <sheetData>
    <row r="1" spans="1:9" s="7" customFormat="1" x14ac:dyDescent="0.3">
      <c r="A1" s="35" t="s">
        <v>43</v>
      </c>
      <c r="B1" s="35" t="s">
        <v>16</v>
      </c>
      <c r="C1" s="35" t="s">
        <v>12</v>
      </c>
      <c r="D1" s="35" t="s">
        <v>14</v>
      </c>
      <c r="E1" s="35" t="s">
        <v>10</v>
      </c>
      <c r="F1" s="35" t="s">
        <v>44</v>
      </c>
      <c r="G1" s="35" t="s">
        <v>45</v>
      </c>
    </row>
    <row r="2" spans="1:9" ht="34.200000000000003" x14ac:dyDescent="0.3">
      <c r="A2" s="36" t="s">
        <v>46</v>
      </c>
      <c r="B2" s="37">
        <v>1822</v>
      </c>
      <c r="C2" s="36">
        <v>1013</v>
      </c>
      <c r="D2" s="36">
        <v>894</v>
      </c>
      <c r="E2" s="36" t="s">
        <v>47</v>
      </c>
      <c r="F2" s="38"/>
      <c r="G2" s="39"/>
      <c r="I2" s="40" t="s">
        <v>48</v>
      </c>
    </row>
    <row r="3" spans="1:9" x14ac:dyDescent="0.3">
      <c r="A3" s="41" t="s">
        <v>49</v>
      </c>
      <c r="B3" s="31">
        <v>17144</v>
      </c>
      <c r="C3" s="31">
        <v>1988</v>
      </c>
      <c r="D3" s="31">
        <v>253</v>
      </c>
      <c r="E3" s="31">
        <v>334</v>
      </c>
      <c r="F3" s="31">
        <f>B3+C3-D3</f>
        <v>18879</v>
      </c>
      <c r="G3" s="34">
        <f>F3/E3</f>
        <v>56.523952095808383</v>
      </c>
      <c r="I3" s="11" t="s">
        <v>50</v>
      </c>
    </row>
    <row r="4" spans="1:9" ht="17.399999999999999" x14ac:dyDescent="0.3">
      <c r="A4" s="42" t="s">
        <v>51</v>
      </c>
      <c r="B4" s="31">
        <v>157272</v>
      </c>
      <c r="C4" s="31">
        <v>1468</v>
      </c>
      <c r="D4" s="31">
        <v>601</v>
      </c>
      <c r="E4" s="31">
        <v>2750</v>
      </c>
      <c r="F4" s="31">
        <f>B4+C4-D4</f>
        <v>158139</v>
      </c>
      <c r="G4" s="34">
        <f>F4/E4</f>
        <v>57.50509090909091</v>
      </c>
      <c r="I4" s="40" t="s">
        <v>52</v>
      </c>
    </row>
    <row r="5" spans="1:9" x14ac:dyDescent="0.3">
      <c r="A5" s="8" t="s">
        <v>53</v>
      </c>
      <c r="G5" s="43">
        <f>AVERAGE(G3:G4)</f>
        <v>57.014521502449647</v>
      </c>
    </row>
    <row r="6" spans="1:9" x14ac:dyDescent="0.3">
      <c r="A6" s="44"/>
      <c r="B6" s="45"/>
    </row>
    <row r="7" spans="1:9" x14ac:dyDescent="0.3">
      <c r="A7" s="46" t="s">
        <v>54</v>
      </c>
      <c r="B7" s="47">
        <f>'Raw Data'!G3</f>
        <v>39</v>
      </c>
    </row>
    <row r="8" spans="1:9" x14ac:dyDescent="0.3">
      <c r="A8" s="46" t="s">
        <v>55</v>
      </c>
      <c r="B8" s="47">
        <f>'Raw Data'!F3</f>
        <v>58</v>
      </c>
    </row>
    <row r="9" spans="1:9" x14ac:dyDescent="0.3">
      <c r="A9" s="41" t="s">
        <v>56</v>
      </c>
      <c r="B9" s="34">
        <f>G5</f>
        <v>57.014521502449647</v>
      </c>
    </row>
    <row r="10" spans="1:9" x14ac:dyDescent="0.3">
      <c r="A10" s="8" t="s">
        <v>57</v>
      </c>
      <c r="B10" s="31">
        <f>B7*B9</f>
        <v>2223.5663385955363</v>
      </c>
    </row>
    <row r="11" spans="1:9" x14ac:dyDescent="0.3">
      <c r="A11" s="8" t="s">
        <v>58</v>
      </c>
      <c r="B11" s="31">
        <f>B8*B9</f>
        <v>3306.8422471420795</v>
      </c>
    </row>
    <row r="12" spans="1:9" x14ac:dyDescent="0.3">
      <c r="A12" s="41" t="s">
        <v>59</v>
      </c>
      <c r="B12" s="31">
        <f>B10-'Raw Data'!G5+'Raw Data'!G6</f>
        <v>2251.5663385955363</v>
      </c>
    </row>
    <row r="13" spans="1:9" x14ac:dyDescent="0.3">
      <c r="A13" s="41" t="s">
        <v>60</v>
      </c>
      <c r="B13" s="31">
        <f>B11-'Raw Data'!G5+'Raw Data'!G6</f>
        <v>3334.8422471420795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="70" zoomScaleNormal="70" workbookViewId="0">
      <selection activeCell="C14" sqref="C14"/>
    </sheetView>
  </sheetViews>
  <sheetFormatPr defaultColWidth="8.6640625" defaultRowHeight="14.4" x14ac:dyDescent="0.3"/>
  <cols>
    <col min="1" max="1" width="34" style="22" customWidth="1"/>
    <col min="2" max="3" width="20" style="22" customWidth="1"/>
    <col min="4" max="4" width="91.109375" style="7" bestFit="1" customWidth="1"/>
  </cols>
  <sheetData>
    <row r="1" spans="1:4" ht="17.25" customHeight="1" x14ac:dyDescent="0.3">
      <c r="A1" s="48" t="s">
        <v>61</v>
      </c>
    </row>
    <row r="2" spans="1:4" ht="14.25" customHeight="1" x14ac:dyDescent="0.3">
      <c r="A2" s="49" t="s">
        <v>62</v>
      </c>
    </row>
    <row r="4" spans="1:4" ht="14.25" customHeight="1" x14ac:dyDescent="0.3">
      <c r="A4" s="35" t="s">
        <v>63</v>
      </c>
      <c r="B4" s="35" t="s">
        <v>64</v>
      </c>
      <c r="C4" s="35" t="s">
        <v>65</v>
      </c>
      <c r="D4" s="35" t="s">
        <v>66</v>
      </c>
    </row>
    <row r="5" spans="1:4" ht="30" customHeight="1" x14ac:dyDescent="0.3">
      <c r="A5" s="50" t="s">
        <v>67</v>
      </c>
      <c r="B5" s="31">
        <f>DCF!B10</f>
        <v>845.91018123200695</v>
      </c>
      <c r="C5" s="31">
        <f>DCF!B11</f>
        <v>873.91018123200695</v>
      </c>
      <c r="D5" s="55" t="s">
        <v>68</v>
      </c>
    </row>
    <row r="6" spans="1:4" ht="30" customHeight="1" x14ac:dyDescent="0.3">
      <c r="A6" s="50" t="s">
        <v>69</v>
      </c>
      <c r="B6" s="31">
        <f>Comps!B10</f>
        <v>2223.5663385955363</v>
      </c>
      <c r="C6" s="31">
        <f>Comps!B12</f>
        <v>2251.5663385955363</v>
      </c>
      <c r="D6" s="55" t="s">
        <v>70</v>
      </c>
    </row>
    <row r="7" spans="1:4" ht="30" customHeight="1" x14ac:dyDescent="0.3">
      <c r="A7" s="50" t="s">
        <v>71</v>
      </c>
      <c r="B7" s="31">
        <f>Comps!B11</f>
        <v>3306.8422471420795</v>
      </c>
      <c r="C7" s="31">
        <f>Comps!B13</f>
        <v>3334.8422471420795</v>
      </c>
      <c r="D7" s="55" t="s">
        <v>72</v>
      </c>
    </row>
    <row r="8" spans="1:4" ht="30" customHeight="1" x14ac:dyDescent="0.3">
      <c r="A8" s="50" t="s">
        <v>73</v>
      </c>
      <c r="C8" s="31">
        <f>'Raw Data'!G7</f>
        <v>3858</v>
      </c>
      <c r="D8" s="55" t="s">
        <v>74</v>
      </c>
    </row>
    <row r="9" spans="1:4" ht="30" customHeight="1" x14ac:dyDescent="0.3"/>
    <row r="10" spans="1:4" ht="30" customHeight="1" x14ac:dyDescent="0.3">
      <c r="A10" s="51" t="s">
        <v>75</v>
      </c>
    </row>
    <row r="11" spans="1:4" ht="30" customHeight="1" x14ac:dyDescent="0.3">
      <c r="A11" s="50" t="s">
        <v>76</v>
      </c>
      <c r="B11" s="52">
        <v>1550</v>
      </c>
      <c r="D11" s="57" t="s">
        <v>77</v>
      </c>
    </row>
    <row r="12" spans="1:4" ht="30" customHeight="1" x14ac:dyDescent="0.3">
      <c r="A12" s="53" t="s">
        <v>78</v>
      </c>
      <c r="C12" s="54">
        <f>1550/0.4133</f>
        <v>3750.3024437454633</v>
      </c>
      <c r="D12" s="56" t="s">
        <v>79</v>
      </c>
    </row>
    <row r="13" spans="1:4" ht="30" customHeight="1" x14ac:dyDescent="0.3"/>
    <row r="14" spans="1:4" ht="30" customHeight="1" x14ac:dyDescent="0.3">
      <c r="A14" s="8" t="s">
        <v>80</v>
      </c>
    </row>
    <row r="15" spans="1:4" ht="30" customHeight="1" x14ac:dyDescent="0.3">
      <c r="A15" s="1" t="s">
        <v>81</v>
      </c>
      <c r="B15" s="1"/>
      <c r="C15" s="1"/>
      <c r="D15" s="1"/>
    </row>
    <row r="16" spans="1:4" ht="30" customHeight="1" x14ac:dyDescent="0.3">
      <c r="A16" s="1" t="s">
        <v>82</v>
      </c>
      <c r="B16" s="1"/>
      <c r="C16" s="1"/>
      <c r="D16" s="1"/>
    </row>
    <row r="17" spans="1:4" ht="30" customHeight="1" x14ac:dyDescent="0.3">
      <c r="A17" s="1" t="s">
        <v>83</v>
      </c>
      <c r="B17" s="1"/>
      <c r="C17" s="1"/>
      <c r="D17" s="1"/>
    </row>
    <row r="18" spans="1:4" ht="30" customHeight="1" x14ac:dyDescent="0.3">
      <c r="A18" s="1" t="s">
        <v>84</v>
      </c>
      <c r="B18" s="1"/>
      <c r="C18" s="1"/>
      <c r="D18" s="1"/>
    </row>
  </sheetData>
  <mergeCells count="4">
    <mergeCell ref="A15:D15"/>
    <mergeCell ref="A16:D16"/>
    <mergeCell ref="A17:D17"/>
    <mergeCell ref="A18:D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Ratios</vt:lpstr>
      <vt:lpstr>DCF</vt:lpstr>
      <vt:lpstr>Comps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2015-06-05T18:17:20Z</dcterms:created>
  <dcterms:modified xsi:type="dcterms:W3CDTF">2026-07-11T01:19:19Z</dcterms:modified>
  <dc:language>en-US</dc:language>
</cp:coreProperties>
</file>